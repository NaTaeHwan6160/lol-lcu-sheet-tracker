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50e9c3311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작 안내" sheetId="1" r:id="Rb4ec30c762a547e4"/>
    <x:sheet xmlns:r="http://schemas.openxmlformats.org/officeDocument/2006/relationships" name="플레이어" sheetId="2" r:id="Rbf9f725d22ca4619"/>
    <x:sheet xmlns:r="http://schemas.openxmlformats.org/officeDocument/2006/relationships" name="경기기록" sheetId="3" r:id="R386a5ee1a6cc4cda"/>
    <x:sheet xmlns:r="http://schemas.openxmlformats.org/officeDocument/2006/relationships" name="통계 대시보드" sheetId="4" r:id="Rd1809ed7d106429f"/>
    <x:sheet xmlns:r="http://schemas.openxmlformats.org/officeDocument/2006/relationships" name="개인시트_예시" sheetId="5" r:id="R4bebaee953ff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#,##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63F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e73857c394651" /><Relationship Type="http://schemas.openxmlformats.org/officeDocument/2006/relationships/theme" Target="/xl/theme/theme1.xml" Id="Re400ec08b9ae495c" /><Relationship Type="http://schemas.openxmlformats.org/officeDocument/2006/relationships/sharedStrings" Target="/xl/sharedStrings.xml" Id="R95fb07aaf2194c93" /><Relationship Type="http://schemas.openxmlformats.org/officeDocument/2006/relationships/worksheet" Target="/xl/worksheets/sheet1.xml" Id="Rb4ec30c762a547e4" /><Relationship Type="http://schemas.openxmlformats.org/officeDocument/2006/relationships/worksheet" Target="/xl/worksheets/sheet2.xml" Id="Rbf9f725d22ca4619" /><Relationship Type="http://schemas.openxmlformats.org/officeDocument/2006/relationships/worksheet" Target="/xl/worksheets/sheet3.xml" Id="R386a5ee1a6cc4cda" /><Relationship Type="http://schemas.openxmlformats.org/officeDocument/2006/relationships/worksheet" Target="/xl/worksheets/sheet4.xml" Id="Rd1809ed7d106429f" /><Relationship Type="http://schemas.openxmlformats.org/officeDocument/2006/relationships/worksheet" Target="/xl/worksheets/sheet5.xml" Id="R4bebaee953ff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00" hidden="0" customWidth="1"/>
  </x:cols>
  <x:sheetData>
    <x:row r="1" ht="30" customHeight="1">
      <x:c r="A1" s="4" t="str">
        <x:v>단계</x:v>
      </x:c>
      <x:c r="B1" s="4" t="str">
        <x:v>작업</x:v>
      </x:c>
      <x:c r="C1" s="4" t="str">
        <x:v>설명</x:v>
      </x:c>
    </x:row>
    <x:row r="2" ht="30" customHeight="1">
      <x:c r="A2" t="str">
        <x:v>1</x:v>
      </x:c>
      <x:c r="B2" t="str">
        <x:v>스프레드시트 업로드</x:v>
      </x:c>
      <x:c r="C2" t="str">
        <x:v>이 파일을 Google Drive에 업로드하고 Google Sheets 형식으로 변환하세요.</x:v>
      </x:c>
    </x:row>
    <x:row r="3" ht="30" customHeight="1">
      <x:c r="A3" t="str">
        <x:v>2</x:v>
      </x:c>
      <x:c r="B3" t="str">
        <x:v>서비스 계정 공유</x:v>
      </x:c>
      <x:c r="C3" t="str">
        <x:v>서비스 계정 이메일에 스프레드시트 편집 권한을 부여하세요.</x:v>
      </x:c>
    </x:row>
    <x:row r="4" ht="30" customHeight="1">
      <x:c r="A4" t="str">
        <x:v>3</x:v>
      </x:c>
      <x:c r="B4" t="str">
        <x:v>.env 설정</x:v>
      </x:c>
      <x:c r="C4" t="str">
        <x:v>GOOGLE_CLIENT_EMAIL, GOOGLE_PRIVATE_KEY, SPREADSHEET_ID를 입력하세요.</x:v>
      </x:c>
    </x:row>
    <x:row r="5" ht="30" customHeight="1">
      <x:c r="A5" t="str">
        <x:v>4</x:v>
      </x:c>
      <x:c r="B5" t="str">
        <x:v>Node.js 실행</x:v>
      </x:c>
      <x:c r="C5" t="str">
        <x:v>npm install 후 npm start를 실행하세요.</x:v>
      </x:c>
    </x:row>
    <x:row r="6" ht="30" customHeight="1">
      <x:c r="A6" t="str">
        <x:v>5</x:v>
      </x:c>
      <x:c r="B6" t="str">
        <x:v>설정 UI</x:v>
      </x:c>
      <x:c r="C6" t="str">
        <x:v>http://127.0.0.1:3784 에서 플레이어를 등록하거나 발견 후보를 승인하세요.</x:v>
      </x:c>
    </x:row>
    <x:row r="7" ht="30" customHeight="1">
      <x:c r="A7" t="str">
        <x:v>6</x:v>
      </x:c>
      <x:c r="B7" t="str">
        <x:v>자동 생성</x:v>
      </x:c>
      <x:c r="C7" t="str">
        <x:v>새 플레이어 등록 시 플레이어 시트가 자동 생성됩니다.</x:v>
      </x:c>
    </x:row>
    <x:row r="8" ht="30" customHeight="1">
      <x:c r="A8" t="str">
        <x:v>7</x:v>
      </x:c>
      <x:c r="B8" t="str">
        <x:v>자동 기록</x:v>
      </x:c>
      <x:c r="C8" t="str">
        <x:v>게임 종료 이벤트를 수신하면 경기기록과 개인 시트에 한 행씩 저장합니다.</x:v>
      </x:c>
    </x:row>
    <x:row r="9" ht="30" customHeight="1">
      <x:c r="A9" t="str">
        <x:v>주의</x:v>
      </x:c>
      <x:c r="B9" t="str">
        <x:v>기존 파일과 별도</x:v>
      </x:c>
      <x:c r="C9" t="str">
        <x:v>원본 「도움반 증바람」의 28개 분석 시트/과거 데이터는 자동 이전되지 않습니다.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7" hidden="0" customWidth="1"/>
  </x:cols>
  <x:sheetData>
    <x:row r="1" ht="30" customHeight="1">
      <x:c r="A1" s="4" t="str">
        <x:v>playerKey</x:v>
      </x:c>
      <x:c r="B1" s="4" t="str">
        <x:v>displayName</x:v>
      </x:c>
      <x:c r="C1" s="4" t="str">
        <x:v>rawSheet</x:v>
      </x:c>
      <x:c r="D1" s="4" t="str">
        <x:v>registeredAt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20" hidden="0" customWidth="1"/>
    <x:col min="4" max="4" width="19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  <x:col min="11" max="11" width="18" hidden="0" customWidth="1"/>
    <x:col min="12" max="12" width="17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7" hidden="0" customWidth="1"/>
    <x:col min="23" max="23" width="42" hidden="0" customWidth="1"/>
  </x:cols>
  <x:sheetData>
    <x:row r="1" ht="30" customHeight="1">
      <x:c r="A1" s="4" t="str">
        <x:v>recordKey</x:v>
      </x:c>
      <x:c r="B1" s="4" t="str">
        <x:v>playerKey</x:v>
      </x:c>
      <x:c r="C1" s="4" t="str">
        <x:v>displayName</x:v>
      </x:c>
      <x:c r="D1" s="4" t="str">
        <x:v>gameId</x:v>
      </x:c>
      <x:c r="E1" s="4" t="str">
        <x:v>championName</x:v>
      </x:c>
      <x:c r="F1" s="4" t="str">
        <x:v>result</x:v>
      </x:c>
      <x:c r="G1" s="4" t="str">
        <x:v>kills</x:v>
      </x:c>
      <x:c r="H1" s="4" t="str">
        <x:v>deaths</x:v>
      </x:c>
      <x:c r="I1" s="4" t="str">
        <x:v>assists</x:v>
      </x:c>
      <x:c r="J1" s="4" t="str">
        <x:v>damageToChampions</x:v>
      </x:c>
      <x:c r="K1" s="4" t="str">
        <x:v>damageTaken</x:v>
      </x:c>
      <x:c r="L1" s="4" t="str">
        <x:v>goldEarned</x:v>
      </x:c>
      <x:c r="M1" s="4" t="str">
        <x:v>spell1Id</x:v>
      </x:c>
      <x:c r="N1" s="4" t="str">
        <x:v>spell2Id</x:v>
      </x:c>
      <x:c r="O1" s="4" t="str">
        <x:v>item0</x:v>
      </x:c>
      <x:c r="P1" s="4" t="str">
        <x:v>item1</x:v>
      </x:c>
      <x:c r="Q1" s="4" t="str">
        <x:v>item2</x:v>
      </x:c>
      <x:c r="R1" s="4" t="str">
        <x:v>item3</x:v>
      </x:c>
      <x:c r="S1" s="4" t="str">
        <x:v>item4</x:v>
      </x:c>
      <x:c r="T1" s="4" t="str">
        <x:v>item5</x:v>
      </x:c>
      <x:c r="U1" s="4" t="str">
        <x:v>item6</x:v>
      </x:c>
      <x:c r="V1" s="4" t="str">
        <x:v>recordedAt</x:v>
      </x:c>
      <x:c r="W1" s="4" t="str">
        <x:v>rawJson</x:v>
      </x:c>
    </x:row>
    <x:row r="2" ht="21" customHeight="1"/>
    <x:row r="3" ht="21" customHeight="1"/>
    <x:row r="4" ht="21" customHeight="1"/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  <x:row r="43" ht="21" customHeight="1"/>
    <x:row r="44" ht="21" customHeight="1"/>
    <x:row r="45" ht="21" customHeight="1"/>
    <x:row r="46" ht="21" customHeight="1"/>
    <x:row r="47" ht="21" customHeight="1"/>
    <x:row r="48" ht="21" customHeight="1"/>
    <x:row r="49" ht="21" customHeight="1"/>
    <x:row r="50" ht="21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65" hidden="0" customWidth="1"/>
  </x:cols>
  <x:sheetData>
    <x:row r="1" ht="30" customHeight="1">
      <x:c r="A1" s="4" t="str">
        <x:v>지표</x:v>
      </x:c>
      <x:c r="B1" s="4" t="str">
        <x:v>값</x:v>
      </x:c>
      <x:c r="C1" s="4" t="str">
        <x:v>설명</x:v>
      </x:c>
    </x:row>
    <x:row r="2">
      <x:c r="A2" t="str">
        <x:v>등록 인원</x:v>
      </x:c>
      <x:c r="B2" t="n">
        <x:f>COUNTA(플레이어!A2:A10000)</x:f>
        <x:v>0</x:v>
      </x:c>
      <x:c r="C2" t="str">
        <x:v>플레이어 시트 등록 기준</x:v>
      </x:c>
    </x:row>
    <x:row r="3">
      <x:c r="A3" t="str">
        <x:v>기록 건수</x:v>
      </x:c>
      <x:c r="B3" t="n">
        <x:f>COUNTA(경기기록!A2:A2000)</x:f>
        <x:v>0</x:v>
      </x:c>
      <x:c r="C3" t="str">
        <x:v>플레이어별 기록 합계</x:v>
      </x:c>
    </x:row>
    <x:row r="4">
      <x:c r="A4" t="str">
        <x:v>승리 건수</x:v>
      </x:c>
      <x:c r="B4" t="n">
        <x:f>COUNTIF(경기기록!F2:F2000,"승")</x:f>
        <x:v>0</x:v>
      </x:c>
      <x:c r="C4" t="str">
        <x:v>승리 기록 합계</x:v>
      </x:c>
    </x:row>
    <x:row r="5">
      <x:c r="A5" t="str">
        <x:v>전체 승률</x:v>
      </x:c>
      <x:c r="B5" s="8" t="n">
        <x:f>IFERROR(B4/B3,0)</x:f>
        <x:v>0</x:v>
      </x:c>
      <x:c r="C5" t="str">
        <x:v>전체 기록 중 승리 비율</x:v>
      </x:c>
    </x:row>
    <x:row r="6">
      <x:c r="A6" t="str">
        <x:v>평균 KDA</x:v>
      </x:c>
      <x:c r="B6" s="10" t="n">
        <x:f>IFERROR((SUM(경기기록!G2:G2000)+SUM(경기기록!I2:I2000))/MAX(1,SUM(경기기록!H2:H2000)),0)</x:f>
        <x:v>0</x:v>
      </x:c>
      <x:c r="C6" t="str">
        <x:v>(총 킬 + 총 어시) / 총 데스</x:v>
      </x:c>
    </x:row>
    <x:row r="9" ht="26" customHeight="1">
      <x:c r="A9" s="13" t="str">
        <x:v>플레이어</x:v>
      </x:c>
      <x:c r="B9" s="13" t="str">
        <x:v>경기 수</x:v>
      </x:c>
      <x:c r="C9" s="13" t="str">
        <x:v>승</x:v>
      </x:c>
      <x:c r="D9" s="13" t="str">
        <x:v>패</x:v>
      </x:c>
      <x:c r="E9" s="13" t="str">
        <x:v>승률</x:v>
      </x:c>
      <x:c r="F9" s="13" t="str">
        <x:v>평균 킬</x:v>
      </x:c>
      <x:c r="G9" s="13" t="str">
        <x:v>평균 데스</x:v>
      </x:c>
      <x:c r="H9" s="13" t="str">
        <x:v>평균 어시</x:v>
      </x:c>
      <x:c r="I9" s="13" t="str">
        <x:v>평균 딜량</x:v>
      </x:c>
    </x:row>
    <x:row r="10">
      <x:c r="A10" t="str">
        <x:f>IF(플레이어!B2="","",플레이어!B2)</x:f>
      </x:c>
      <x:c r="B10" t="str">
        <x:f>IF($A10="","",COUNTIF(경기기록!$B$2:$B$2000,플레이어!$A2))</x:f>
      </x:c>
      <x:c r="C10" t="str">
        <x:f>IF($A10="","",COUNTIFS(경기기록!$B$2:$B$2000,플레이어!$A2,경기기록!$F$2:$F$2000,"승"))</x:f>
      </x:c>
      <x:c r="D10" t="str">
        <x:f>IF($A10="","",B10-C10)</x:f>
      </x:c>
      <x:c r="E10" s="8" t="n">
        <x:f>IFERROR(C10/B10,0)</x:f>
        <x:v>0</x:v>
      </x:c>
      <x:c r="F10" s="16" t="n">
        <x:f>IFERROR(AVERAGEIF(경기기록!$B$2:$B$2000,플레이어!$A2,경기기록!$G$2:$G$2000),0)</x:f>
        <x:v>0</x:v>
      </x:c>
      <x:c r="G10" s="16" t="n">
        <x:f>IFERROR(AVERAGEIF(경기기록!$B$2:$B$2000,플레이어!$A2,경기기록!$H$2:$H$2000),0)</x:f>
        <x:v>0</x:v>
      </x:c>
      <x:c r="H10" s="16" t="n">
        <x:f>IFERROR(AVERAGEIF(경기기록!$B$2:$B$2000,플레이어!$A2,경기기록!$I$2:$I$2000),0)</x:f>
        <x:v>0</x:v>
      </x:c>
      <x:c r="I10" s="16" t="n">
        <x:f>IFERROR(AVERAGEIF(경기기록!$B$2:$B$2000,플레이어!$A2,경기기록!$J$2:$J$2000),0)</x:f>
        <x:v>0</x:v>
      </x:c>
    </x:row>
    <x:row r="11">
      <x:c r="A11" t="str">
        <x:f>IF(플레이어!B3="","",플레이어!B3)</x:f>
      </x:c>
      <x:c r="B11" t="str">
        <x:f>IF($A11="","",COUNTIF(경기기록!$B$2:$B$2000,플레이어!$A3))</x:f>
      </x:c>
      <x:c r="C11" t="str">
        <x:f>IF($A11="","",COUNTIFS(경기기록!$B$2:$B$2000,플레이어!$A3,경기기록!$F$2:$F$2000,"승"))</x:f>
      </x:c>
      <x:c r="D11" t="str">
        <x:f>IF($A11="","",B11-C11)</x:f>
      </x:c>
      <x:c r="E11" s="8" t="n">
        <x:f>IFERROR(C11/B11,0)</x:f>
        <x:v>0</x:v>
      </x:c>
      <x:c r="F11" s="16" t="n">
        <x:f>IFERROR(AVERAGEIF(경기기록!$B$2:$B$2000,플레이어!$A3,경기기록!$G$2:$G$2000),0)</x:f>
        <x:v>0</x:v>
      </x:c>
      <x:c r="G11" s="16" t="n">
        <x:f>IFERROR(AVERAGEIF(경기기록!$B$2:$B$2000,플레이어!$A3,경기기록!$H$2:$H$2000),0)</x:f>
        <x:v>0</x:v>
      </x:c>
      <x:c r="H11" s="16" t="n">
        <x:f>IFERROR(AVERAGEIF(경기기록!$B$2:$B$2000,플레이어!$A3,경기기록!$I$2:$I$2000),0)</x:f>
        <x:v>0</x:v>
      </x:c>
      <x:c r="I11" s="16" t="n">
        <x:f>IFERROR(AVERAGEIF(경기기록!$B$2:$B$2000,플레이어!$A3,경기기록!$J$2:$J$2000),0)</x:f>
        <x:v>0</x:v>
      </x:c>
    </x:row>
    <x:row r="12">
      <x:c r="A12" t="str">
        <x:f>IF(플레이어!B4="","",플레이어!B4)</x:f>
      </x:c>
      <x:c r="B12" t="str">
        <x:f>IF($A12="","",COUNTIF(경기기록!$B$2:$B$2000,플레이어!$A4))</x:f>
      </x:c>
      <x:c r="C12" t="str">
        <x:f>IF($A12="","",COUNTIFS(경기기록!$B$2:$B$2000,플레이어!$A4,경기기록!$F$2:$F$2000,"승"))</x:f>
      </x:c>
      <x:c r="D12" t="str">
        <x:f>IF($A12="","",B12-C12)</x:f>
      </x:c>
      <x:c r="E12" s="8" t="n">
        <x:f>IFERROR(C12/B12,0)</x:f>
        <x:v>0</x:v>
      </x:c>
      <x:c r="F12" s="16" t="n">
        <x:f>IFERROR(AVERAGEIF(경기기록!$B$2:$B$2000,플레이어!$A4,경기기록!$G$2:$G$2000),0)</x:f>
        <x:v>0</x:v>
      </x:c>
      <x:c r="G12" s="16" t="n">
        <x:f>IFERROR(AVERAGEIF(경기기록!$B$2:$B$2000,플레이어!$A4,경기기록!$H$2:$H$2000),0)</x:f>
        <x:v>0</x:v>
      </x:c>
      <x:c r="H12" s="16" t="n">
        <x:f>IFERROR(AVERAGEIF(경기기록!$B$2:$B$2000,플레이어!$A4,경기기록!$I$2:$I$2000),0)</x:f>
        <x:v>0</x:v>
      </x:c>
      <x:c r="I12" s="16" t="n">
        <x:f>IFERROR(AVERAGEIF(경기기록!$B$2:$B$2000,플레이어!$A4,경기기록!$J$2:$J$2000),0)</x:f>
        <x:v>0</x:v>
      </x:c>
    </x:row>
    <x:row r="13">
      <x:c r="A13" t="str">
        <x:f>IF(플레이어!B5="","",플레이어!B5)</x:f>
      </x:c>
      <x:c r="B13" t="str">
        <x:f>IF($A13="","",COUNTIF(경기기록!$B$2:$B$2000,플레이어!$A5))</x:f>
      </x:c>
      <x:c r="C13" t="str">
        <x:f>IF($A13="","",COUNTIFS(경기기록!$B$2:$B$2000,플레이어!$A5,경기기록!$F$2:$F$2000,"승"))</x:f>
      </x:c>
      <x:c r="D13" t="str">
        <x:f>IF($A13="","",B13-C13)</x:f>
      </x:c>
      <x:c r="E13" s="8" t="n">
        <x:f>IFERROR(C13/B13,0)</x:f>
        <x:v>0</x:v>
      </x:c>
      <x:c r="F13" s="16" t="n">
        <x:f>IFERROR(AVERAGEIF(경기기록!$B$2:$B$2000,플레이어!$A5,경기기록!$G$2:$G$2000),0)</x:f>
        <x:v>0</x:v>
      </x:c>
      <x:c r="G13" s="16" t="n">
        <x:f>IFERROR(AVERAGEIF(경기기록!$B$2:$B$2000,플레이어!$A5,경기기록!$H$2:$H$2000),0)</x:f>
        <x:v>0</x:v>
      </x:c>
      <x:c r="H13" s="16" t="n">
        <x:f>IFERROR(AVERAGEIF(경기기록!$B$2:$B$2000,플레이어!$A5,경기기록!$I$2:$I$2000),0)</x:f>
        <x:v>0</x:v>
      </x:c>
      <x:c r="I13" s="16" t="n">
        <x:f>IFERROR(AVERAGEIF(경기기록!$B$2:$B$2000,플레이어!$A5,경기기록!$J$2:$J$2000),0)</x:f>
        <x:v>0</x:v>
      </x:c>
    </x:row>
    <x:row r="14">
      <x:c r="A14" t="str">
        <x:f>IF(플레이어!B6="","",플레이어!B6)</x:f>
      </x:c>
      <x:c r="B14" t="str">
        <x:f>IF($A14="","",COUNTIF(경기기록!$B$2:$B$2000,플레이어!$A6))</x:f>
      </x:c>
      <x:c r="C14" t="str">
        <x:f>IF($A14="","",COUNTIFS(경기기록!$B$2:$B$2000,플레이어!$A6,경기기록!$F$2:$F$2000,"승"))</x:f>
      </x:c>
      <x:c r="D14" t="str">
        <x:f>IF($A14="","",B14-C14)</x:f>
      </x:c>
      <x:c r="E14" s="8" t="n">
        <x:f>IFERROR(C14/B14,0)</x:f>
        <x:v>0</x:v>
      </x:c>
      <x:c r="F14" s="16" t="n">
        <x:f>IFERROR(AVERAGEIF(경기기록!$B$2:$B$2000,플레이어!$A6,경기기록!$G$2:$G$2000),0)</x:f>
        <x:v>0</x:v>
      </x:c>
      <x:c r="G14" s="16" t="n">
        <x:f>IFERROR(AVERAGEIF(경기기록!$B$2:$B$2000,플레이어!$A6,경기기록!$H$2:$H$2000),0)</x:f>
        <x:v>0</x:v>
      </x:c>
      <x:c r="H14" s="16" t="n">
        <x:f>IFERROR(AVERAGEIF(경기기록!$B$2:$B$2000,플레이어!$A6,경기기록!$I$2:$I$2000),0)</x:f>
        <x:v>0</x:v>
      </x:c>
      <x:c r="I14" s="16" t="n">
        <x:f>IFERROR(AVERAGEIF(경기기록!$B$2:$B$2000,플레이어!$A6,경기기록!$J$2:$J$2000),0)</x:f>
        <x:v>0</x:v>
      </x:c>
    </x:row>
    <x:row r="15">
      <x:c r="A15" t="str">
        <x:f>IF(플레이어!B7="","",플레이어!B7)</x:f>
      </x:c>
      <x:c r="B15" t="str">
        <x:f>IF($A15="","",COUNTIF(경기기록!$B$2:$B$2000,플레이어!$A7))</x:f>
      </x:c>
      <x:c r="C15" t="str">
        <x:f>IF($A15="","",COUNTIFS(경기기록!$B$2:$B$2000,플레이어!$A7,경기기록!$F$2:$F$2000,"승"))</x:f>
      </x:c>
      <x:c r="D15" t="str">
        <x:f>IF($A15="","",B15-C15)</x:f>
      </x:c>
      <x:c r="E15" s="8" t="n">
        <x:f>IFERROR(C15/B15,0)</x:f>
        <x:v>0</x:v>
      </x:c>
      <x:c r="F15" s="16" t="n">
        <x:f>IFERROR(AVERAGEIF(경기기록!$B$2:$B$2000,플레이어!$A7,경기기록!$G$2:$G$2000),0)</x:f>
        <x:v>0</x:v>
      </x:c>
      <x:c r="G15" s="16" t="n">
        <x:f>IFERROR(AVERAGEIF(경기기록!$B$2:$B$2000,플레이어!$A7,경기기록!$H$2:$H$2000),0)</x:f>
        <x:v>0</x:v>
      </x:c>
      <x:c r="H15" s="16" t="n">
        <x:f>IFERROR(AVERAGEIF(경기기록!$B$2:$B$2000,플레이어!$A7,경기기록!$I$2:$I$2000),0)</x:f>
        <x:v>0</x:v>
      </x:c>
      <x:c r="I15" s="16" t="n">
        <x:f>IFERROR(AVERAGEIF(경기기록!$B$2:$B$2000,플레이어!$A7,경기기록!$J$2:$J$2000),0)</x:f>
        <x:v>0</x:v>
      </x:c>
    </x:row>
    <x:row r="16">
      <x:c r="A16" t="str">
        <x:f>IF(플레이어!B8="","",플레이어!B8)</x:f>
      </x:c>
      <x:c r="B16" t="str">
        <x:f>IF($A16="","",COUNTIF(경기기록!$B$2:$B$2000,플레이어!$A8))</x:f>
      </x:c>
      <x:c r="C16" t="str">
        <x:f>IF($A16="","",COUNTIFS(경기기록!$B$2:$B$2000,플레이어!$A8,경기기록!$F$2:$F$2000,"승"))</x:f>
      </x:c>
      <x:c r="D16" t="str">
        <x:f>IF($A16="","",B16-C16)</x:f>
      </x:c>
      <x:c r="E16" s="8" t="n">
        <x:f>IFERROR(C16/B16,0)</x:f>
        <x:v>0</x:v>
      </x:c>
      <x:c r="F16" s="16" t="n">
        <x:f>IFERROR(AVERAGEIF(경기기록!$B$2:$B$2000,플레이어!$A8,경기기록!$G$2:$G$2000),0)</x:f>
        <x:v>0</x:v>
      </x:c>
      <x:c r="G16" s="16" t="n">
        <x:f>IFERROR(AVERAGEIF(경기기록!$B$2:$B$2000,플레이어!$A8,경기기록!$H$2:$H$2000),0)</x:f>
        <x:v>0</x:v>
      </x:c>
      <x:c r="H16" s="16" t="n">
        <x:f>IFERROR(AVERAGEIF(경기기록!$B$2:$B$2000,플레이어!$A8,경기기록!$I$2:$I$2000),0)</x:f>
        <x:v>0</x:v>
      </x:c>
      <x:c r="I16" s="16" t="n">
        <x:f>IFERROR(AVERAGEIF(경기기록!$B$2:$B$2000,플레이어!$A8,경기기록!$J$2:$J$2000),0)</x:f>
        <x:v>0</x:v>
      </x:c>
    </x:row>
    <x:row r="17">
      <x:c r="A17" t="str">
        <x:f>IF(플레이어!B9="","",플레이어!B9)</x:f>
      </x:c>
      <x:c r="B17" t="str">
        <x:f>IF($A17="","",COUNTIF(경기기록!$B$2:$B$2000,플레이어!$A9))</x:f>
      </x:c>
      <x:c r="C17" t="str">
        <x:f>IF($A17="","",COUNTIFS(경기기록!$B$2:$B$2000,플레이어!$A9,경기기록!$F$2:$F$2000,"승"))</x:f>
      </x:c>
      <x:c r="D17" t="str">
        <x:f>IF($A17="","",B17-C17)</x:f>
      </x:c>
      <x:c r="E17" s="8" t="n">
        <x:f>IFERROR(C17/B17,0)</x:f>
        <x:v>0</x:v>
      </x:c>
      <x:c r="F17" s="16" t="n">
        <x:f>IFERROR(AVERAGEIF(경기기록!$B$2:$B$2000,플레이어!$A9,경기기록!$G$2:$G$2000),0)</x:f>
        <x:v>0</x:v>
      </x:c>
      <x:c r="G17" s="16" t="n">
        <x:f>IFERROR(AVERAGEIF(경기기록!$B$2:$B$2000,플레이어!$A9,경기기록!$H$2:$H$2000),0)</x:f>
        <x:v>0</x:v>
      </x:c>
      <x:c r="H17" s="16" t="n">
        <x:f>IFERROR(AVERAGEIF(경기기록!$B$2:$B$2000,플레이어!$A9,경기기록!$I$2:$I$2000),0)</x:f>
        <x:v>0</x:v>
      </x:c>
      <x:c r="I17" s="16" t="n">
        <x:f>IFERROR(AVERAGEIF(경기기록!$B$2:$B$2000,플레이어!$A9,경기기록!$J$2:$J$2000),0)</x:f>
        <x:v>0</x:v>
      </x:c>
    </x:row>
    <x:row r="18">
      <x:c r="A18" t="str">
        <x:f>IF(플레이어!B10="","",플레이어!B10)</x:f>
      </x:c>
      <x:c r="B18" t="str">
        <x:f>IF($A18="","",COUNTIF(경기기록!$B$2:$B$2000,플레이어!$A10))</x:f>
      </x:c>
      <x:c r="C18" t="str">
        <x:f>IF($A18="","",COUNTIFS(경기기록!$B$2:$B$2000,플레이어!$A10,경기기록!$F$2:$F$2000,"승"))</x:f>
      </x:c>
      <x:c r="D18" t="str">
        <x:f>IF($A18="","",B18-C18)</x:f>
      </x:c>
      <x:c r="E18" s="8" t="n">
        <x:f>IFERROR(C18/B18,0)</x:f>
        <x:v>0</x:v>
      </x:c>
      <x:c r="F18" s="16" t="n">
        <x:f>IFERROR(AVERAGEIF(경기기록!$B$2:$B$2000,플레이어!$A10,경기기록!$G$2:$G$2000),0)</x:f>
        <x:v>0</x:v>
      </x:c>
      <x:c r="G18" s="16" t="n">
        <x:f>IFERROR(AVERAGEIF(경기기록!$B$2:$B$2000,플레이어!$A10,경기기록!$H$2:$H$2000),0)</x:f>
        <x:v>0</x:v>
      </x:c>
      <x:c r="H18" s="16" t="n">
        <x:f>IFERROR(AVERAGEIF(경기기록!$B$2:$B$2000,플레이어!$A10,경기기록!$I$2:$I$2000),0)</x:f>
        <x:v>0</x:v>
      </x:c>
      <x:c r="I18" s="16" t="n">
        <x:f>IFERROR(AVERAGEIF(경기기록!$B$2:$B$2000,플레이어!$A10,경기기록!$J$2:$J$2000),0)</x:f>
        <x:v>0</x:v>
      </x:c>
    </x:row>
    <x:row r="19">
      <x:c r="A19" t="str">
        <x:f>IF(플레이어!B11="","",플레이어!B11)</x:f>
      </x:c>
      <x:c r="B19" t="str">
        <x:f>IF($A19="","",COUNTIF(경기기록!$B$2:$B$2000,플레이어!$A11))</x:f>
      </x:c>
      <x:c r="C19" t="str">
        <x:f>IF($A19="","",COUNTIFS(경기기록!$B$2:$B$2000,플레이어!$A11,경기기록!$F$2:$F$2000,"승"))</x:f>
      </x:c>
      <x:c r="D19" t="str">
        <x:f>IF($A19="","",B19-C19)</x:f>
      </x:c>
      <x:c r="E19" s="8" t="n">
        <x:f>IFERROR(C19/B19,0)</x:f>
        <x:v>0</x:v>
      </x:c>
      <x:c r="F19" s="16" t="n">
        <x:f>IFERROR(AVERAGEIF(경기기록!$B$2:$B$2000,플레이어!$A11,경기기록!$G$2:$G$2000),0)</x:f>
        <x:v>0</x:v>
      </x:c>
      <x:c r="G19" s="16" t="n">
        <x:f>IFERROR(AVERAGEIF(경기기록!$B$2:$B$2000,플레이어!$A11,경기기록!$H$2:$H$2000),0)</x:f>
        <x:v>0</x:v>
      </x:c>
      <x:c r="H19" s="16" t="n">
        <x:f>IFERROR(AVERAGEIF(경기기록!$B$2:$B$2000,플레이어!$A11,경기기록!$I$2:$I$2000),0)</x:f>
        <x:v>0</x:v>
      </x:c>
      <x:c r="I19" s="16" t="n">
        <x:f>IFERROR(AVERAGEIF(경기기록!$B$2:$B$2000,플레이어!$A11,경기기록!$J$2:$J$2000),0)</x:f>
        <x:v>0</x:v>
      </x:c>
    </x:row>
    <x:row r="20">
      <x:c r="A20" t="str">
        <x:f>IF(플레이어!B12="","",플레이어!B12)</x:f>
      </x:c>
      <x:c r="B20" t="str">
        <x:f>IF($A20="","",COUNTIF(경기기록!$B$2:$B$2000,플레이어!$A12))</x:f>
      </x:c>
      <x:c r="C20" t="str">
        <x:f>IF($A20="","",COUNTIFS(경기기록!$B$2:$B$2000,플레이어!$A12,경기기록!$F$2:$F$2000,"승"))</x:f>
      </x:c>
      <x:c r="D20" t="str">
        <x:f>IF($A20="","",B20-C20)</x:f>
      </x:c>
      <x:c r="E20" s="8" t="n">
        <x:f>IFERROR(C20/B20,0)</x:f>
        <x:v>0</x:v>
      </x:c>
      <x:c r="F20" s="16" t="n">
        <x:f>IFERROR(AVERAGEIF(경기기록!$B$2:$B$2000,플레이어!$A12,경기기록!$G$2:$G$2000),0)</x:f>
        <x:v>0</x:v>
      </x:c>
      <x:c r="G20" s="16" t="n">
        <x:f>IFERROR(AVERAGEIF(경기기록!$B$2:$B$2000,플레이어!$A12,경기기록!$H$2:$H$2000),0)</x:f>
        <x:v>0</x:v>
      </x:c>
      <x:c r="H20" s="16" t="n">
        <x:f>IFERROR(AVERAGEIF(경기기록!$B$2:$B$2000,플레이어!$A12,경기기록!$I$2:$I$2000),0)</x:f>
        <x:v>0</x:v>
      </x:c>
      <x:c r="I20" s="16" t="n">
        <x:f>IFERROR(AVERAGEIF(경기기록!$B$2:$B$2000,플레이어!$A12,경기기록!$J$2:$J$2000),0)</x:f>
        <x:v>0</x:v>
      </x:c>
    </x:row>
    <x:row r="21">
      <x:c r="A21" t="str">
        <x:f>IF(플레이어!B13="","",플레이어!B13)</x:f>
      </x:c>
      <x:c r="B21" t="str">
        <x:f>IF($A21="","",COUNTIF(경기기록!$B$2:$B$2000,플레이어!$A13))</x:f>
      </x:c>
      <x:c r="C21" t="str">
        <x:f>IF($A21="","",COUNTIFS(경기기록!$B$2:$B$2000,플레이어!$A13,경기기록!$F$2:$F$2000,"승"))</x:f>
      </x:c>
      <x:c r="D21" t="str">
        <x:f>IF($A21="","",B21-C21)</x:f>
      </x:c>
      <x:c r="E21" s="8" t="n">
        <x:f>IFERROR(C21/B21,0)</x:f>
        <x:v>0</x:v>
      </x:c>
      <x:c r="F21" s="16" t="n">
        <x:f>IFERROR(AVERAGEIF(경기기록!$B$2:$B$2000,플레이어!$A13,경기기록!$G$2:$G$2000),0)</x:f>
        <x:v>0</x:v>
      </x:c>
      <x:c r="G21" s="16" t="n">
        <x:f>IFERROR(AVERAGEIF(경기기록!$B$2:$B$2000,플레이어!$A13,경기기록!$H$2:$H$2000),0)</x:f>
        <x:v>0</x:v>
      </x:c>
      <x:c r="H21" s="16" t="n">
        <x:f>IFERROR(AVERAGEIF(경기기록!$B$2:$B$2000,플레이어!$A13,경기기록!$I$2:$I$2000),0)</x:f>
        <x:v>0</x:v>
      </x:c>
      <x:c r="I21" s="16" t="n">
        <x:f>IFERROR(AVERAGEIF(경기기록!$B$2:$B$2000,플레이어!$A13,경기기록!$J$2:$J$2000),0)</x:f>
        <x:v>0</x:v>
      </x:c>
    </x:row>
    <x:row r="22">
      <x:c r="A22" t="str">
        <x:f>IF(플레이어!B14="","",플레이어!B14)</x:f>
      </x:c>
      <x:c r="B22" t="str">
        <x:f>IF($A22="","",COUNTIF(경기기록!$B$2:$B$2000,플레이어!$A14))</x:f>
      </x:c>
      <x:c r="C22" t="str">
        <x:f>IF($A22="","",COUNTIFS(경기기록!$B$2:$B$2000,플레이어!$A14,경기기록!$F$2:$F$2000,"승"))</x:f>
      </x:c>
      <x:c r="D22" t="str">
        <x:f>IF($A22="","",B22-C22)</x:f>
      </x:c>
      <x:c r="E22" s="8" t="n">
        <x:f>IFERROR(C22/B22,0)</x:f>
        <x:v>0</x:v>
      </x:c>
      <x:c r="F22" s="16" t="n">
        <x:f>IFERROR(AVERAGEIF(경기기록!$B$2:$B$2000,플레이어!$A14,경기기록!$G$2:$G$2000),0)</x:f>
        <x:v>0</x:v>
      </x:c>
      <x:c r="G22" s="16" t="n">
        <x:f>IFERROR(AVERAGEIF(경기기록!$B$2:$B$2000,플레이어!$A14,경기기록!$H$2:$H$2000),0)</x:f>
        <x:v>0</x:v>
      </x:c>
      <x:c r="H22" s="16" t="n">
        <x:f>IFERROR(AVERAGEIF(경기기록!$B$2:$B$2000,플레이어!$A14,경기기록!$I$2:$I$2000),0)</x:f>
        <x:v>0</x:v>
      </x:c>
      <x:c r="I22" s="16" t="n">
        <x:f>IFERROR(AVERAGEIF(경기기록!$B$2:$B$2000,플레이어!$A14,경기기록!$J$2:$J$2000),0)</x:f>
        <x:v>0</x:v>
      </x:c>
    </x:row>
    <x:row r="23">
      <x:c r="A23" t="str">
        <x:f>IF(플레이어!B15="","",플레이어!B15)</x:f>
      </x:c>
      <x:c r="B23" t="str">
        <x:f>IF($A23="","",COUNTIF(경기기록!$B$2:$B$2000,플레이어!$A15))</x:f>
      </x:c>
      <x:c r="C23" t="str">
        <x:f>IF($A23="","",COUNTIFS(경기기록!$B$2:$B$2000,플레이어!$A15,경기기록!$F$2:$F$2000,"승"))</x:f>
      </x:c>
      <x:c r="D23" t="str">
        <x:f>IF($A23="","",B23-C23)</x:f>
      </x:c>
      <x:c r="E23" s="8" t="n">
        <x:f>IFERROR(C23/B23,0)</x:f>
        <x:v>0</x:v>
      </x:c>
      <x:c r="F23" s="16" t="n">
        <x:f>IFERROR(AVERAGEIF(경기기록!$B$2:$B$2000,플레이어!$A15,경기기록!$G$2:$G$2000),0)</x:f>
        <x:v>0</x:v>
      </x:c>
      <x:c r="G23" s="16" t="n">
        <x:f>IFERROR(AVERAGEIF(경기기록!$B$2:$B$2000,플레이어!$A15,경기기록!$H$2:$H$2000),0)</x:f>
        <x:v>0</x:v>
      </x:c>
      <x:c r="H23" s="16" t="n">
        <x:f>IFERROR(AVERAGEIF(경기기록!$B$2:$B$2000,플레이어!$A15,경기기록!$I$2:$I$2000),0)</x:f>
        <x:v>0</x:v>
      </x:c>
      <x:c r="I23" s="16" t="n">
        <x:f>IFERROR(AVERAGEIF(경기기록!$B$2:$B$2000,플레이어!$A15,경기기록!$J$2:$J$2000),0)</x:f>
        <x:v>0</x:v>
      </x:c>
    </x:row>
    <x:row r="24">
      <x:c r="A24" t="str">
        <x:f>IF(플레이어!B16="","",플레이어!B16)</x:f>
      </x:c>
      <x:c r="B24" t="str">
        <x:f>IF($A24="","",COUNTIF(경기기록!$B$2:$B$2000,플레이어!$A16))</x:f>
      </x:c>
      <x:c r="C24" t="str">
        <x:f>IF($A24="","",COUNTIFS(경기기록!$B$2:$B$2000,플레이어!$A16,경기기록!$F$2:$F$2000,"승"))</x:f>
      </x:c>
      <x:c r="D24" t="str">
        <x:f>IF($A24="","",B24-C24)</x:f>
      </x:c>
      <x:c r="E24" s="8" t="n">
        <x:f>IFERROR(C24/B24,0)</x:f>
        <x:v>0</x:v>
      </x:c>
      <x:c r="F24" s="16" t="n">
        <x:f>IFERROR(AVERAGEIF(경기기록!$B$2:$B$2000,플레이어!$A16,경기기록!$G$2:$G$2000),0)</x:f>
        <x:v>0</x:v>
      </x:c>
      <x:c r="G24" s="16" t="n">
        <x:f>IFERROR(AVERAGEIF(경기기록!$B$2:$B$2000,플레이어!$A16,경기기록!$H$2:$H$2000),0)</x:f>
        <x:v>0</x:v>
      </x:c>
      <x:c r="H24" s="16" t="n">
        <x:f>IFERROR(AVERAGEIF(경기기록!$B$2:$B$2000,플레이어!$A16,경기기록!$I$2:$I$2000),0)</x:f>
        <x:v>0</x:v>
      </x:c>
      <x:c r="I24" s="16" t="n">
        <x:f>IFERROR(AVERAGEIF(경기기록!$B$2:$B$2000,플레이어!$A16,경기기록!$J$2:$J$2000),0)</x:f>
        <x:v>0</x:v>
      </x:c>
    </x:row>
    <x:row r="25">
      <x:c r="A25" t="str">
        <x:f>IF(플레이어!B17="","",플레이어!B17)</x:f>
      </x:c>
      <x:c r="B25" t="str">
        <x:f>IF($A25="","",COUNTIF(경기기록!$B$2:$B$2000,플레이어!$A17))</x:f>
      </x:c>
      <x:c r="C25" t="str">
        <x:f>IF($A25="","",COUNTIFS(경기기록!$B$2:$B$2000,플레이어!$A17,경기기록!$F$2:$F$2000,"승"))</x:f>
      </x:c>
      <x:c r="D25" t="str">
        <x:f>IF($A25="","",B25-C25)</x:f>
      </x:c>
      <x:c r="E25" s="8" t="n">
        <x:f>IFERROR(C25/B25,0)</x:f>
        <x:v>0</x:v>
      </x:c>
      <x:c r="F25" s="16" t="n">
        <x:f>IFERROR(AVERAGEIF(경기기록!$B$2:$B$2000,플레이어!$A17,경기기록!$G$2:$G$2000),0)</x:f>
        <x:v>0</x:v>
      </x:c>
      <x:c r="G25" s="16" t="n">
        <x:f>IFERROR(AVERAGEIF(경기기록!$B$2:$B$2000,플레이어!$A17,경기기록!$H$2:$H$2000),0)</x:f>
        <x:v>0</x:v>
      </x:c>
      <x:c r="H25" s="16" t="n">
        <x:f>IFERROR(AVERAGEIF(경기기록!$B$2:$B$2000,플레이어!$A17,경기기록!$I$2:$I$2000),0)</x:f>
        <x:v>0</x:v>
      </x:c>
      <x:c r="I25" s="16" t="n">
        <x:f>IFERROR(AVERAGEIF(경기기록!$B$2:$B$2000,플레이어!$A17,경기기록!$J$2:$J$2000),0)</x:f>
        <x:v>0</x:v>
      </x:c>
    </x:row>
    <x:row r="26">
      <x:c r="A26" t="str">
        <x:f>IF(플레이어!B18="","",플레이어!B18)</x:f>
      </x:c>
      <x:c r="B26" t="str">
        <x:f>IF($A26="","",COUNTIF(경기기록!$B$2:$B$2000,플레이어!$A18))</x:f>
      </x:c>
      <x:c r="C26" t="str">
        <x:f>IF($A26="","",COUNTIFS(경기기록!$B$2:$B$2000,플레이어!$A18,경기기록!$F$2:$F$2000,"승"))</x:f>
      </x:c>
      <x:c r="D26" t="str">
        <x:f>IF($A26="","",B26-C26)</x:f>
      </x:c>
      <x:c r="E26" s="8" t="n">
        <x:f>IFERROR(C26/B26,0)</x:f>
        <x:v>0</x:v>
      </x:c>
      <x:c r="F26" s="16" t="n">
        <x:f>IFERROR(AVERAGEIF(경기기록!$B$2:$B$2000,플레이어!$A18,경기기록!$G$2:$G$2000),0)</x:f>
        <x:v>0</x:v>
      </x:c>
      <x:c r="G26" s="16" t="n">
        <x:f>IFERROR(AVERAGEIF(경기기록!$B$2:$B$2000,플레이어!$A18,경기기록!$H$2:$H$2000),0)</x:f>
        <x:v>0</x:v>
      </x:c>
      <x:c r="H26" s="16" t="n">
        <x:f>IFERROR(AVERAGEIF(경기기록!$B$2:$B$2000,플레이어!$A18,경기기록!$I$2:$I$2000),0)</x:f>
        <x:v>0</x:v>
      </x:c>
      <x:c r="I26" s="16" t="n">
        <x:f>IFERROR(AVERAGEIF(경기기록!$B$2:$B$2000,플레이어!$A18,경기기록!$J$2:$J$2000),0)</x:f>
        <x:v>0</x:v>
      </x:c>
    </x:row>
    <x:row r="27">
      <x:c r="A27" t="str">
        <x:f>IF(플레이어!B19="","",플레이어!B19)</x:f>
      </x:c>
      <x:c r="B27" t="str">
        <x:f>IF($A27="","",COUNTIF(경기기록!$B$2:$B$2000,플레이어!$A19))</x:f>
      </x:c>
      <x:c r="C27" t="str">
        <x:f>IF($A27="","",COUNTIFS(경기기록!$B$2:$B$2000,플레이어!$A19,경기기록!$F$2:$F$2000,"승"))</x:f>
      </x:c>
      <x:c r="D27" t="str">
        <x:f>IF($A27="","",B27-C27)</x:f>
      </x:c>
      <x:c r="E27" s="8" t="n">
        <x:f>IFERROR(C27/B27,0)</x:f>
        <x:v>0</x:v>
      </x:c>
      <x:c r="F27" s="16" t="n">
        <x:f>IFERROR(AVERAGEIF(경기기록!$B$2:$B$2000,플레이어!$A19,경기기록!$G$2:$G$2000),0)</x:f>
        <x:v>0</x:v>
      </x:c>
      <x:c r="G27" s="16" t="n">
        <x:f>IFERROR(AVERAGEIF(경기기록!$B$2:$B$2000,플레이어!$A19,경기기록!$H$2:$H$2000),0)</x:f>
        <x:v>0</x:v>
      </x:c>
      <x:c r="H27" s="16" t="n">
        <x:f>IFERROR(AVERAGEIF(경기기록!$B$2:$B$2000,플레이어!$A19,경기기록!$I$2:$I$2000),0)</x:f>
        <x:v>0</x:v>
      </x:c>
      <x:c r="I27" s="16" t="n">
        <x:f>IFERROR(AVERAGEIF(경기기록!$B$2:$B$2000,플레이어!$A19,경기기록!$J$2:$J$2000),0)</x:f>
        <x:v>0</x:v>
      </x:c>
    </x:row>
    <x:row r="28">
      <x:c r="A28" t="str">
        <x:f>IF(플레이어!B20="","",플레이어!B20)</x:f>
      </x:c>
      <x:c r="B28" t="str">
        <x:f>IF($A28="","",COUNTIF(경기기록!$B$2:$B$2000,플레이어!$A20))</x:f>
      </x:c>
      <x:c r="C28" t="str">
        <x:f>IF($A28="","",COUNTIFS(경기기록!$B$2:$B$2000,플레이어!$A20,경기기록!$F$2:$F$2000,"승"))</x:f>
      </x:c>
      <x:c r="D28" t="str">
        <x:f>IF($A28="","",B28-C28)</x:f>
      </x:c>
      <x:c r="E28" s="8" t="n">
        <x:f>IFERROR(C28/B28,0)</x:f>
        <x:v>0</x:v>
      </x:c>
      <x:c r="F28" s="16" t="n">
        <x:f>IFERROR(AVERAGEIF(경기기록!$B$2:$B$2000,플레이어!$A20,경기기록!$G$2:$G$2000),0)</x:f>
        <x:v>0</x:v>
      </x:c>
      <x:c r="G28" s="16" t="n">
        <x:f>IFERROR(AVERAGEIF(경기기록!$B$2:$B$2000,플레이어!$A20,경기기록!$H$2:$H$2000),0)</x:f>
        <x:v>0</x:v>
      </x:c>
      <x:c r="H28" s="16" t="n">
        <x:f>IFERROR(AVERAGEIF(경기기록!$B$2:$B$2000,플레이어!$A20,경기기록!$I$2:$I$2000),0)</x:f>
        <x:v>0</x:v>
      </x:c>
      <x:c r="I28" s="16" t="n">
        <x:f>IFERROR(AVERAGEIF(경기기록!$B$2:$B$2000,플레이어!$A20,경기기록!$J$2:$J$2000),0)</x:f>
        <x:v>0</x:v>
      </x:c>
    </x:row>
    <x:row r="29">
      <x:c r="A29" t="str">
        <x:f>IF(플레이어!B21="","",플레이어!B21)</x:f>
      </x:c>
      <x:c r="B29" t="str">
        <x:f>IF($A29="","",COUNTIF(경기기록!$B$2:$B$2000,플레이어!$A21))</x:f>
      </x:c>
      <x:c r="C29" t="str">
        <x:f>IF($A29="","",COUNTIFS(경기기록!$B$2:$B$2000,플레이어!$A21,경기기록!$F$2:$F$2000,"승"))</x:f>
      </x:c>
      <x:c r="D29" t="str">
        <x:f>IF($A29="","",B29-C29)</x:f>
      </x:c>
      <x:c r="E29" s="8" t="n">
        <x:f>IFERROR(C29/B29,0)</x:f>
        <x:v>0</x:v>
      </x:c>
      <x:c r="F29" s="16" t="n">
        <x:f>IFERROR(AVERAGEIF(경기기록!$B$2:$B$2000,플레이어!$A21,경기기록!$G$2:$G$2000),0)</x:f>
        <x:v>0</x:v>
      </x:c>
      <x:c r="G29" s="16" t="n">
        <x:f>IFERROR(AVERAGEIF(경기기록!$B$2:$B$2000,플레이어!$A21,경기기록!$H$2:$H$2000),0)</x:f>
        <x:v>0</x:v>
      </x:c>
      <x:c r="H29" s="16" t="n">
        <x:f>IFERROR(AVERAGEIF(경기기록!$B$2:$B$2000,플레이어!$A21,경기기록!$I$2:$I$2000),0)</x:f>
        <x:v>0</x:v>
      </x:c>
      <x:c r="I29" s="16" t="n">
        <x:f>IFERROR(AVERAGEIF(경기기록!$B$2:$B$2000,플레이어!$A21,경기기록!$J$2:$J$2000),0)</x:f>
        <x:v>0</x:v>
      </x:c>
    </x:row>
  </x:sheetData>
  <x:conditionalFormatting sqref="E10:E29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{50FE5C47-20CD-6841-6612-3B8EB36CD264}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0FE5C47-20CD-6841-6612-3B8EB36CD264}">
            <x14:dataBar gradient="1">
              <x14:cfvo type="min"/>
              <x14:cfvo type="max"/>
              <x14:fillColor rgb="FF3B82F6"/>
            </x14:dataBar>
          </x14:cfRule>
          <xm:sqref>E10:E29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20" hidden="0" customWidth="1"/>
    <x:col min="4" max="4" width="19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2" hidden="0" customWidth="1"/>
    <x:col min="11" max="11" width="18" hidden="0" customWidth="1"/>
    <x:col min="12" max="12" width="17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7" hidden="0" customWidth="1"/>
    <x:col min="23" max="23" width="42" hidden="0" customWidth="1"/>
  </x:cols>
  <x:sheetData>
    <x:row r="1" ht="30" customHeight="1">
      <x:c r="A1" s="4" t="str">
        <x:v>recordKey</x:v>
      </x:c>
      <x:c r="B1" s="4" t="str">
        <x:v>playerKey</x:v>
      </x:c>
      <x:c r="C1" s="4" t="str">
        <x:v>displayName</x:v>
      </x:c>
      <x:c r="D1" s="4" t="str">
        <x:v>gameId</x:v>
      </x:c>
      <x:c r="E1" s="4" t="str">
        <x:v>championName</x:v>
      </x:c>
      <x:c r="F1" s="4" t="str">
        <x:v>result</x:v>
      </x:c>
      <x:c r="G1" s="4" t="str">
        <x:v>kills</x:v>
      </x:c>
      <x:c r="H1" s="4" t="str">
        <x:v>deaths</x:v>
      </x:c>
      <x:c r="I1" s="4" t="str">
        <x:v>assists</x:v>
      </x:c>
      <x:c r="J1" s="4" t="str">
        <x:v>damageToChampions</x:v>
      </x:c>
      <x:c r="K1" s="4" t="str">
        <x:v>damageTaken</x:v>
      </x:c>
      <x:c r="L1" s="4" t="str">
        <x:v>goldEarned</x:v>
      </x:c>
      <x:c r="M1" s="4" t="str">
        <x:v>spell1Id</x:v>
      </x:c>
      <x:c r="N1" s="4" t="str">
        <x:v>spell2Id</x:v>
      </x:c>
      <x:c r="O1" s="4" t="str">
        <x:v>item0</x:v>
      </x:c>
      <x:c r="P1" s="4" t="str">
        <x:v>item1</x:v>
      </x:c>
      <x:c r="Q1" s="4" t="str">
        <x:v>item2</x:v>
      </x:c>
      <x:c r="R1" s="4" t="str">
        <x:v>item3</x:v>
      </x:c>
      <x:c r="S1" s="4" t="str">
        <x:v>item4</x:v>
      </x:c>
      <x:c r="T1" s="4" t="str">
        <x:v>item5</x:v>
      </x:c>
      <x:c r="U1" s="4" t="str">
        <x:v>item6</x:v>
      </x:c>
      <x:c r="V1" s="4" t="str">
        <x:v>recordedAt</x:v>
      </x:c>
      <x:c r="W1" s="4" t="str">
        <x:v>rawJson</x:v>
      </x:c>
    </x:row>
    <x:row r="2">
      <x:c r="A2" t="str">
        <x:v>등록 시 프로그램이 표시 이름으로 개별 시트를 생성합니다.</x:v>
      </x:c>
    </x:row>
  </x:sheetData>
  <x:pageMargins left="0.7" right="0.7" top="0.75" bottom="0.75" header="0.3" footer="0.3"/>
</x:worksheet>
</file>